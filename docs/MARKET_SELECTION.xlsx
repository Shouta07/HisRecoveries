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総合評価" sheetId="1" state="visible" r:id="rId1"/>
    <sheet name="市場規模試算" sheetId="2" state="visible" r:id="rId2"/>
    <sheet name="判断根拠" sheetId="3" state="visible" r:id="rId3"/>
    <sheet name="前提・出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6">
    <font>
      <name val="Calibri"/>
      <family val="2"/>
      <color theme="1"/>
      <sz val="11"/>
      <scheme val="minor"/>
    </font>
    <font>
      <name val="Yu Gothic"/>
      <b val="1"/>
      <color rgb="0016241A"/>
      <sz val="13"/>
    </font>
    <font>
      <name val="Yu Gothic"/>
      <color rgb="006B7A66"/>
      <sz val="9"/>
    </font>
    <font>
      <name val="Yu Gothic"/>
      <b val="1"/>
      <color rgb="00EDF1E8"/>
      <sz val="9"/>
    </font>
    <font>
      <name val="Yu Gothic"/>
      <b val="1"/>
      <color rgb="001F2A1D"/>
      <sz val="10"/>
    </font>
    <font>
      <name val="Yu Gothic"/>
      <color rgb="000000CC"/>
      <sz val="10"/>
    </font>
    <font>
      <name val="Yu Gothic"/>
      <b val="1"/>
      <color rgb="0016241A"/>
      <sz val="10"/>
    </font>
    <font>
      <name val="Yu Gothic"/>
      <color rgb="004B5B47"/>
      <sz val="8"/>
    </font>
    <font>
      <name val="Yu Gothic"/>
      <b val="1"/>
      <color rgb="003D5638"/>
      <sz val="9"/>
    </font>
    <font>
      <name val="Yu Gothic"/>
      <color rgb="001F2A1D"/>
      <sz val="9"/>
    </font>
    <font>
      <name val="Yu Gothic"/>
      <color rgb="000000CC"/>
      <sz val="9"/>
    </font>
    <font>
      <name val="Yu Gothic"/>
      <b val="1"/>
      <color rgb="001F2A1D"/>
      <sz val="9"/>
    </font>
    <font>
      <name val="Yu Gothic"/>
      <b val="1"/>
      <color rgb="0016241A"/>
      <sz val="9"/>
    </font>
    <font>
      <name val="Yu Gothic"/>
      <color rgb="003A4A37"/>
      <sz val="9"/>
    </font>
    <font>
      <name val="Yu Gothic"/>
      <color rgb="003A4A37"/>
      <sz val="8"/>
    </font>
    <font>
      <name val="Yu Gothic"/>
      <color rgb="006B7A66"/>
      <sz val="8"/>
    </font>
  </fonts>
  <fills count="5">
    <fill>
      <patternFill/>
    </fill>
    <fill>
      <patternFill patternType="gray125"/>
    </fill>
    <fill>
      <patternFill patternType="solid">
        <fgColor rgb="0016241A"/>
      </patternFill>
    </fill>
    <fill>
      <patternFill patternType="solid">
        <fgColor rgb="00FFF6CC"/>
      </patternFill>
    </fill>
    <fill>
      <patternFill patternType="solid">
        <fgColor rgb="00F4F6F2"/>
      </patternFill>
    </fill>
  </fills>
  <borders count="2">
    <border>
      <left/>
      <right/>
      <top/>
      <bottom/>
      <diagonal/>
    </border>
    <border>
      <left style="thin">
        <color rgb="00C9D2C4"/>
      </left>
      <right style="thin">
        <color rgb="00C9D2C4"/>
      </right>
      <top style="thin">
        <color rgb="00C9D2C4"/>
      </top>
      <bottom style="thin">
        <color rgb="00C9D2C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1" pivotButton="0" quotePrefix="0" xfId="0"/>
    <xf numFmtId="2" fontId="10" fillId="3" borderId="1" applyAlignment="1" pivotButton="0" quotePrefix="0" xfId="0">
      <alignment horizontal="center" vertical="center" wrapText="1"/>
    </xf>
    <xf numFmtId="0" fontId="11" fillId="0" borderId="1" pivotButton="0" quotePrefix="0" xfId="0"/>
    <xf numFmtId="2" fontId="1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 wrapText="1"/>
    </xf>
    <xf numFmtId="2" fontId="12" fillId="4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HR</author>
  </authors>
  <commentList>
    <comment ref="C4" authorId="0" shapeId="0">
      <text>
        <t>対象顧客(万人)=対象男性人口2,000万 × 対象率。悩み保有かつ本気で支払う層の割合。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8" customWidth="1" min="10" max="10"/>
    <col width="7" customWidth="1" min="11" max="11"/>
    <col width="46" customWidth="1" min="12" max="12"/>
  </cols>
  <sheetData>
    <row r="1">
      <c r="A1" s="1" t="inlineStr">
        <is>
          <t>① 総合評価 — 6観点の加重スコアで楔を検証（篠塚流「市場選定が9割」）</t>
        </is>
      </c>
    </row>
    <row r="2">
      <c r="A2" s="2" t="inlineStr">
        <is>
          <t>①市場は『市場規模試算』シートから自動連携。②〜⑥は判断値（1〜5, 黄色セルで調整可）。重みも黄色セルで可変。</t>
        </is>
      </c>
    </row>
    <row r="4">
      <c r="A4" s="3" t="inlineStr">
        <is>
          <t>重み（合計1.00）</t>
        </is>
      </c>
      <c r="B4" s="4" t="inlineStr">
        <is>
          <t>シナリオA：市場最優先</t>
        </is>
      </c>
      <c r="C4" s="4" t="inlineStr">
        <is>
          <t>シナリオB：ブランド適合重視</t>
        </is>
      </c>
    </row>
    <row r="5">
      <c r="A5" s="5" t="inlineStr">
        <is>
          <t>①市場規模</t>
        </is>
      </c>
      <c r="B5" s="6" t="n">
        <v>0.35</v>
      </c>
      <c r="C5" s="6" t="n">
        <v>0.2</v>
      </c>
    </row>
    <row r="6">
      <c r="A6" s="5" t="inlineStr">
        <is>
          <t>②VPの立てやすさ</t>
        </is>
      </c>
      <c r="B6" s="6" t="n">
        <v>0.15</v>
      </c>
      <c r="C6" s="6" t="n">
        <v>0.25</v>
      </c>
    </row>
    <row r="7">
      <c r="A7" s="5" t="inlineStr">
        <is>
          <t>③CAN適合</t>
        </is>
      </c>
      <c r="B7" s="6" t="n">
        <v>0.15</v>
      </c>
      <c r="C7" s="6" t="n">
        <v>0.2</v>
      </c>
    </row>
    <row r="8">
      <c r="A8" s="5" t="inlineStr">
        <is>
          <t>④緊急度/WTP</t>
        </is>
      </c>
      <c r="B8" s="6" t="n">
        <v>0.2</v>
      </c>
      <c r="C8" s="6" t="n">
        <v>0.1</v>
      </c>
    </row>
    <row r="9">
      <c r="A9" s="5" t="inlineStr">
        <is>
          <t>⑤供給確保</t>
        </is>
      </c>
      <c r="B9" s="6" t="n">
        <v>0.1</v>
      </c>
      <c r="C9" s="6" t="n">
        <v>0.1</v>
      </c>
    </row>
    <row r="10">
      <c r="A10" s="5" t="inlineStr">
        <is>
          <t>⑥制約両立</t>
        </is>
      </c>
      <c r="B10" s="6" t="n">
        <v>0.05</v>
      </c>
      <c r="C10" s="6" t="n">
        <v>0.15</v>
      </c>
    </row>
    <row r="11">
      <c r="A11" s="7" t="inlineStr">
        <is>
          <t>合計</t>
        </is>
      </c>
      <c r="B11" s="8">
        <f>SUM(B5:B10)</f>
        <v/>
      </c>
      <c r="C11" s="8">
        <f>SUM(C5:C10)</f>
        <v/>
      </c>
    </row>
    <row r="14">
      <c r="A14" s="9" t="inlineStr">
        <is>
          <t>楔（悩み × 形態）</t>
        </is>
      </c>
      <c r="B14" s="9" t="inlineStr">
        <is>
          <t>①市場</t>
        </is>
      </c>
      <c r="C14" s="9" t="inlineStr">
        <is>
          <t>②VP</t>
        </is>
      </c>
      <c r="D14" s="9" t="inlineStr">
        <is>
          <t>③CAN</t>
        </is>
      </c>
      <c r="E14" s="9" t="inlineStr">
        <is>
          <t>④緊急</t>
        </is>
      </c>
      <c r="F14" s="9" t="inlineStr">
        <is>
          <t>⑤供給</t>
        </is>
      </c>
      <c r="G14" s="9" t="inlineStr">
        <is>
          <t>⑥制約</t>
        </is>
      </c>
      <c r="H14" s="9" t="inlineStr">
        <is>
          <t>A総合</t>
        </is>
      </c>
      <c r="I14" s="9" t="inlineStr">
        <is>
          <t>A順位</t>
        </is>
      </c>
      <c r="J14" s="9" t="inlineStr">
        <is>
          <t>B総合</t>
        </is>
      </c>
      <c r="K14" s="9" t="inlineStr">
        <is>
          <t>B順位</t>
        </is>
      </c>
      <c r="L14" s="9" t="inlineStr">
        <is>
          <t>判定</t>
        </is>
      </c>
    </row>
    <row r="15">
      <c r="A15" s="10" t="inlineStr">
        <is>
          <t>薄毛 × 医療連携（AGA）</t>
        </is>
      </c>
      <c r="B15" s="11">
        <f>市場規模試算!G5</f>
        <v/>
      </c>
      <c r="C15" s="12" t="n">
        <v>2</v>
      </c>
      <c r="D15" s="12" t="n">
        <v>3.5</v>
      </c>
      <c r="E15" s="12" t="n">
        <v>5</v>
      </c>
      <c r="F15" s="12" t="n">
        <v>2.5</v>
      </c>
      <c r="G15" s="12" t="n">
        <v>2</v>
      </c>
      <c r="H15" s="13">
        <f>B15*$B$5+C15*$B$6+D15*$B$7+E15*$B$8+F15*$B$9+G15*$B$10</f>
        <v/>
      </c>
      <c r="I15" s="14">
        <f>RANK(H15,$H$15:$H$21)</f>
        <v/>
      </c>
      <c r="J15" s="13">
        <f>B15*$C$5+C15*$C$6+D15*$C$7+E15*$C$8+F15*$C$9+G15*$C$10</f>
        <v/>
      </c>
      <c r="K15" s="14">
        <f>RANK(J15,$J$15:$J$21)</f>
        <v/>
      </c>
      <c r="L15" s="15" t="inlineStr">
        <is>
          <t>市場・緊急度は最強。だが競合飽和/供給難/紹介料規制で②⑤⑥が弱い＝HRの魂と衝突。</t>
        </is>
      </c>
    </row>
    <row r="16">
      <c r="A16" s="10" t="inlineStr">
        <is>
          <t>第一印象 × 一日パッケージ（メイク・服・写真）</t>
        </is>
      </c>
      <c r="B16" s="11">
        <f>市場規模試算!G6</f>
        <v/>
      </c>
      <c r="C16" s="12" t="n">
        <v>5</v>
      </c>
      <c r="D16" s="12" t="n">
        <v>5</v>
      </c>
      <c r="E16" s="12" t="n">
        <v>4</v>
      </c>
      <c r="F16" s="12" t="n">
        <v>2</v>
      </c>
      <c r="G16" s="12" t="n">
        <v>5</v>
      </c>
      <c r="H16" s="13">
        <f>B16*$B$5+C16*$B$6+D16*$B$7+E16*$B$8+F16*$B$9+G16*$B$10</f>
        <v/>
      </c>
      <c r="I16" s="14">
        <f>RANK(H16,$H$15:$H$21)</f>
        <v/>
      </c>
      <c r="J16" s="13">
        <f>B16*$C$5+C16*$C$6+D16*$C$7+E16*$C$8+F16*$C$9+G16*$C$10</f>
        <v/>
      </c>
      <c r="K16" s="14">
        <f>RANK(J16,$J$15:$J$21)</f>
        <v/>
      </c>
      <c r="L16" s="15" t="inlineStr">
        <is>
          <t>VP・CAN・制約適合が最強＝HRの中立コンシェルジュど真ん中。弱点は市場規模と供給(メイク人材)。</t>
        </is>
      </c>
    </row>
    <row r="17">
      <c r="A17" s="10" t="inlineStr">
        <is>
          <t>肌 × 美容皮膚科連携</t>
        </is>
      </c>
      <c r="B17" s="11">
        <f>市場規模試算!G7</f>
        <v/>
      </c>
      <c r="C17" s="12" t="n">
        <v>2.5</v>
      </c>
      <c r="D17" s="12" t="n">
        <v>3.5</v>
      </c>
      <c r="E17" s="12" t="n">
        <v>3</v>
      </c>
      <c r="F17" s="12" t="n">
        <v>2.5</v>
      </c>
      <c r="G17" s="12" t="n">
        <v>2</v>
      </c>
      <c r="H17" s="13">
        <f>B17*$B$5+C17*$B$6+D17*$B$7+E17*$B$8+F17*$B$9+G17*$B$10</f>
        <v/>
      </c>
      <c r="I17" s="14">
        <f>RANK(H17,$H$15:$H$21)</f>
        <v/>
      </c>
      <c r="J17" s="13">
        <f>B17*$C$5+C17*$C$6+D17*$C$7+E17*$C$8+F17*$C$9+G17*$C$10</f>
        <v/>
      </c>
      <c r="K17" s="14">
        <f>RANK(J17,$J$15:$J$21)</f>
        <v/>
      </c>
      <c r="L17" s="15" t="inlineStr">
        <is>
          <t>中庸。医療広告飽和で差別化しづらい。</t>
        </is>
      </c>
    </row>
    <row r="18">
      <c r="A18" s="10" t="inlineStr">
        <is>
          <t>体型 × トレーニング/栄養</t>
        </is>
      </c>
      <c r="B18" s="11">
        <f>市場規模試算!G8</f>
        <v/>
      </c>
      <c r="C18" s="12" t="n">
        <v>2.5</v>
      </c>
      <c r="D18" s="12" t="n">
        <v>3.5</v>
      </c>
      <c r="E18" s="12" t="n">
        <v>3.5</v>
      </c>
      <c r="F18" s="12" t="n">
        <v>4</v>
      </c>
      <c r="G18" s="12" t="n">
        <v>4</v>
      </c>
      <c r="H18" s="13">
        <f>B18*$B$5+C18*$B$6+D18*$B$7+E18*$B$8+F18*$B$9+G18*$B$10</f>
        <v/>
      </c>
      <c r="I18" s="14">
        <f>RANK(H18,$H$15:$H$21)</f>
        <v/>
      </c>
      <c r="J18" s="13">
        <f>B18*$C$5+C18*$C$6+D18*$C$7+E18*$C$8+F18*$C$9+G18*$C$10</f>
        <v/>
      </c>
      <c r="K18" s="14">
        <f>RANK(J18,$J$15:$J$21)</f>
        <v/>
      </c>
      <c r="L18" s="15" t="inlineStr">
        <is>
          <t>供給が容易・制約と両立◎でバランス良。緊急度は中。</t>
        </is>
      </c>
    </row>
    <row r="19">
      <c r="A19" s="10" t="inlineStr">
        <is>
          <t>ヒゲ・体毛 × 脱毛</t>
        </is>
      </c>
      <c r="B19" s="11">
        <f>市場規模試算!G9</f>
        <v/>
      </c>
      <c r="C19" s="12" t="n">
        <v>2</v>
      </c>
      <c r="D19" s="12" t="n">
        <v>3</v>
      </c>
      <c r="E19" s="12" t="n">
        <v>3</v>
      </c>
      <c r="F19" s="12" t="n">
        <v>3.5</v>
      </c>
      <c r="G19" s="12" t="n">
        <v>3</v>
      </c>
      <c r="H19" s="13">
        <f>B19*$B$5+C19*$B$6+D19*$B$7+E19*$B$8+F19*$B$9+G19*$B$10</f>
        <v/>
      </c>
      <c r="I19" s="14">
        <f>RANK(H19,$H$15:$H$21)</f>
        <v/>
      </c>
      <c r="J19" s="13">
        <f>B19*$C$5+C19*$C$6+D19*$C$7+E19*$C$8+F19*$C$9+G19*$C$10</f>
        <v/>
      </c>
      <c r="K19" s="14">
        <f>RANK(J19,$J$15:$J$21)</f>
        <v/>
      </c>
      <c r="L19" s="15" t="inlineStr">
        <is>
          <t>市場中規模だが広告飽和。差別化余地小。</t>
        </is>
      </c>
    </row>
    <row r="20">
      <c r="A20" s="10" t="inlineStr">
        <is>
          <t>内側 × 血液最適化</t>
        </is>
      </c>
      <c r="B20" s="11">
        <f>市場規模試算!G10</f>
        <v/>
      </c>
      <c r="C20" s="12" t="n">
        <v>4</v>
      </c>
      <c r="D20" s="12" t="n">
        <v>2.5</v>
      </c>
      <c r="E20" s="12" t="n">
        <v>2</v>
      </c>
      <c r="F20" s="12" t="n">
        <v>2</v>
      </c>
      <c r="G20" s="12" t="n">
        <v>2.5</v>
      </c>
      <c r="H20" s="13">
        <f>B20*$B$5+C20*$B$6+D20*$B$7+E20*$B$8+F20*$B$9+G20*$B$10</f>
        <v/>
      </c>
      <c r="I20" s="14">
        <f>RANK(H20,$H$15:$H$21)</f>
        <v/>
      </c>
      <c r="J20" s="13">
        <f>B20*$C$5+C20*$C$6+D20*$C$7+E20*$C$8+F20*$C$9+G20*$C$10</f>
        <v/>
      </c>
      <c r="K20" s="14">
        <f>RANK(J20,$J$15:$J$21)</f>
        <v/>
      </c>
      <c r="L20" s="15" t="inlineStr">
        <is>
          <t>需要未顕在で市場小。HRの独自性は高いが今は早い。</t>
        </is>
      </c>
    </row>
    <row r="21">
      <c r="A21" s="10" t="inlineStr">
        <is>
          <t>心 × カウンセリング</t>
        </is>
      </c>
      <c r="B21" s="11">
        <f>市場規模試算!G11</f>
        <v/>
      </c>
      <c r="C21" s="12" t="n">
        <v>3</v>
      </c>
      <c r="D21" s="12" t="n">
        <v>2.5</v>
      </c>
      <c r="E21" s="12" t="n">
        <v>3</v>
      </c>
      <c r="F21" s="12" t="n">
        <v>3.5</v>
      </c>
      <c r="G21" s="12" t="n">
        <v>3.5</v>
      </c>
      <c r="H21" s="13">
        <f>B21*$B$5+C21*$B$6+D21*$B$7+E21*$B$8+F21*$B$9+G21*$B$10</f>
        <v/>
      </c>
      <c r="I21" s="14">
        <f>RANK(H21,$H$15:$H$21)</f>
        <v/>
      </c>
      <c r="J21" s="13">
        <f>B21*$C$5+C21*$C$6+D21*$C$7+E21*$C$8+F21*$C$9+G21*$C$10</f>
        <v/>
      </c>
      <c r="K21" s="14">
        <f>RANK(J21,$J$15:$J$21)</f>
        <v/>
      </c>
      <c r="L21" s="15" t="inlineStr">
        <is>
          <t>市場小・相談化しにくい。将来のモジュール向き。</t>
        </is>
      </c>
    </row>
    <row r="23">
      <c r="A23" s="3" t="inlineStr">
        <is>
          <t>読み方</t>
        </is>
      </c>
    </row>
    <row r="24">
      <c r="A24" s="16" t="inlineStr">
        <is>
          <t>・シナリオA（市場最優先＝篠塚の『市場が9割』）では 薄毛 が突出。市場規模と緊急度が支配的だから。</t>
        </is>
      </c>
    </row>
    <row r="25">
      <c r="A25" s="16" t="inlineStr">
        <is>
          <t>・シナリオB（中立コンシェルジュというブランドの魂を重視）では 第一印象 が逆転首位。②VP・③CAN・⑥制約でHRのど真ん中だから。</t>
        </is>
      </c>
    </row>
    <row r="26">
      <c r="A26" s="16" t="inlineStr">
        <is>
          <t>・つまり『どちらが正しい市場か』は、HRが何に張る会社かで決まる。数字は判断を代替せず、争点を可視化する。</t>
        </is>
      </c>
    </row>
    <row r="27">
      <c r="A27" s="16" t="inlineStr">
        <is>
          <t>・現実解：ブランド適合の高い【第一印象】を『最初の楔』に据えて1回届け切り、市場の大きい【薄毛】へ中立連携で橋渡しする『順番』（＝戦略）。</t>
        </is>
      </c>
    </row>
    <row r="28">
      <c r="A28" s="16" t="inlineStr">
        <is>
          <t>・次に埋めるべき空欄＝①市場スコアの根拠（GA/Search Consoleの記事別PV・流入クエリ・相談転換）。ここが入ると①が実測に変わる。</t>
        </is>
      </c>
    </row>
  </sheetData>
  <mergeCells count="7">
    <mergeCell ref="A26:L26"/>
    <mergeCell ref="A24:L24"/>
    <mergeCell ref="A1:M1"/>
    <mergeCell ref="A25:L25"/>
    <mergeCell ref="A28:L28"/>
    <mergeCell ref="A27:L2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9" customWidth="1" min="4" max="4"/>
    <col width="7" customWidth="1" min="5" max="5"/>
    <col width="10" customWidth="1" min="6" max="6"/>
    <col width="12" customWidth="1" min="7" max="7"/>
    <col width="12" customWidth="1" min="8" max="8"/>
    <col width="52" customWidth="1" min="9" max="9"/>
  </cols>
  <sheetData>
    <row r="1">
      <c r="A1" s="1" t="inlineStr">
        <is>
          <t>② 市場規模試算（TAM / SAM）— HRが束ねられる年間売上プールを試算</t>
        </is>
      </c>
    </row>
    <row r="2">
      <c r="A2" s="2" t="inlineStr">
        <is>
          <t>黄色セル＝可変の前提（実データで上書き可）／白セル＝自動計算。対象男性人口ベース＝20〜49歳 約2,000万人。</t>
        </is>
      </c>
    </row>
    <row r="4">
      <c r="A4" s="9" t="inlineStr">
        <is>
          <t>楔（悩み × 形態）</t>
        </is>
      </c>
      <c r="B4" s="9" t="inlineStr">
        <is>
          <t>対象率
(%)</t>
        </is>
      </c>
      <c r="C4" s="9" t="inlineStr">
        <is>
          <t>対象顧客
(万人)</t>
        </is>
      </c>
      <c r="D4" s="9" t="inlineStr">
        <is>
          <t>HR単価
(円)</t>
        </is>
      </c>
      <c r="E4" s="9" t="inlineStr">
        <is>
          <t>年間
頻度</t>
        </is>
      </c>
      <c r="F4" s="9" t="inlineStr">
        <is>
          <t>HR-SAM
(億円)</t>
        </is>
      </c>
      <c r="G4" s="9" t="inlineStr">
        <is>
          <t>①市場スコア
(SAM相対5点)</t>
        </is>
      </c>
      <c r="H4" s="9" t="inlineStr">
        <is>
          <t>参考:カテゴリ
市場(億円)</t>
        </is>
      </c>
      <c r="I4" s="9" t="inlineStr">
        <is>
          <t>出典・前提</t>
        </is>
      </c>
    </row>
    <row r="5">
      <c r="A5" s="17" t="inlineStr">
        <is>
          <t>薄毛 × 医療連携（AGA）</t>
        </is>
      </c>
      <c r="B5" s="18" t="n">
        <v>5</v>
      </c>
      <c r="C5" s="19">
        <f>2000*B5/100</f>
        <v/>
      </c>
      <c r="D5" s="20" t="n">
        <v>50000</v>
      </c>
      <c r="E5" s="18" t="n">
        <v>1.2</v>
      </c>
      <c r="F5" s="21">
        <f>C5*D5*E5/10000</f>
        <v/>
      </c>
      <c r="G5" s="22">
        <f>F5/MAX($F$5:$F$11)*5</f>
        <v/>
      </c>
      <c r="H5" s="20" t="n">
        <v>2459</v>
      </c>
      <c r="I5" s="15" t="inlineStr">
        <is>
          <t>薄毛の自覚層対策市場 約2,459億円（薄毛対策・予防 計5,137億の一部, 2025推計）</t>
        </is>
      </c>
    </row>
    <row r="6">
      <c r="A6" s="17" t="inlineStr">
        <is>
          <t>第一印象 × 一日パッケージ（メイク・服・写真）</t>
        </is>
      </c>
      <c r="B6" s="18" t="n">
        <v>2</v>
      </c>
      <c r="C6" s="19">
        <f>2000*B6/100</f>
        <v/>
      </c>
      <c r="D6" s="20" t="n">
        <v>80000</v>
      </c>
      <c r="E6" s="18" t="n">
        <v>0.5</v>
      </c>
      <c r="F6" s="21">
        <f>C6*D6*E6/10000</f>
        <v/>
      </c>
      <c r="G6" s="22">
        <f>F6/MAX($F$5:$F$11)*5</f>
        <v/>
      </c>
      <c r="H6" s="20" t="n">
        <v>80</v>
      </c>
      <c r="I6" s="15" t="inlineStr">
        <is>
          <t>該当カテゴリは未成立。メンズメイク497億の一部+スタイリング+撮影を新規に束ねる想定（HRが創出）</t>
        </is>
      </c>
    </row>
    <row r="7">
      <c r="A7" s="17" t="inlineStr">
        <is>
          <t>肌 × 美容皮膚科連携</t>
        </is>
      </c>
      <c r="B7" s="18" t="n">
        <v>3</v>
      </c>
      <c r="C7" s="19">
        <f>2000*B7/100</f>
        <v/>
      </c>
      <c r="D7" s="20" t="n">
        <v>40000</v>
      </c>
      <c r="E7" s="18" t="n">
        <v>1.5</v>
      </c>
      <c r="F7" s="21">
        <f>C7*D7*E7/10000</f>
        <v/>
      </c>
      <c r="G7" s="22">
        <f>F7/MAX($F$5:$F$11)*5</f>
        <v/>
      </c>
      <c r="H7" s="20" t="n">
        <v>900</v>
      </c>
      <c r="I7" s="15" t="inlineStr">
        <is>
          <t>美容医療総市場6,310億円(2024)の男性・肌分を約15%と仮置き。メンズ基礎化粧品438億は別枠</t>
        </is>
      </c>
    </row>
    <row r="8">
      <c r="A8" s="17" t="inlineStr">
        <is>
          <t>体型 × トレーニング/栄養</t>
        </is>
      </c>
      <c r="B8" s="18" t="n">
        <v>3</v>
      </c>
      <c r="C8" s="19">
        <f>2000*B8/100</f>
        <v/>
      </c>
      <c r="D8" s="20" t="n">
        <v>60000</v>
      </c>
      <c r="E8" s="18" t="n">
        <v>1</v>
      </c>
      <c r="F8" s="21">
        <f>C8*D8*E8/10000</f>
        <v/>
      </c>
      <c r="G8" s="22">
        <f>F8/MAX($F$5:$F$11)*5</f>
        <v/>
      </c>
      <c r="H8" s="20" t="n">
        <v>200</v>
      </c>
      <c r="I8" s="15" t="inlineStr">
        <is>
          <t>パーソナルジム市場300億円超の男性分（約6〜7割）を仮置き。フィットネス全体は7,100億</t>
        </is>
      </c>
    </row>
    <row r="9">
      <c r="A9" s="17" t="inlineStr">
        <is>
          <t>ヒゲ・体毛 × 脱毛</t>
        </is>
      </c>
      <c r="B9" s="18" t="n">
        <v>4</v>
      </c>
      <c r="C9" s="19">
        <f>2000*B9/100</f>
        <v/>
      </c>
      <c r="D9" s="20" t="n">
        <v>30000</v>
      </c>
      <c r="E9" s="18" t="n">
        <v>0.8</v>
      </c>
      <c r="F9" s="21">
        <f>C9*D9*E9/10000</f>
        <v/>
      </c>
      <c r="G9" s="22">
        <f>F9/MAX($F$5:$F$11)*5</f>
        <v/>
      </c>
      <c r="H9" s="20" t="n">
        <v>635</v>
      </c>
      <c r="I9" s="15" t="inlineStr">
        <is>
          <t>男性脱毛市場 635億円（2024, 4年で1.8倍）</t>
        </is>
      </c>
    </row>
    <row r="10">
      <c r="A10" s="17" t="inlineStr">
        <is>
          <t>内側 × 血液最適化</t>
        </is>
      </c>
      <c r="B10" s="18" t="n">
        <v>1</v>
      </c>
      <c r="C10" s="19">
        <f>2000*B10/100</f>
        <v/>
      </c>
      <c r="D10" s="20" t="n">
        <v>30000</v>
      </c>
      <c r="E10" s="18" t="n">
        <v>1</v>
      </c>
      <c r="F10" s="21">
        <f>C10*D10*E10/10000</f>
        <v/>
      </c>
      <c r="G10" s="22">
        <f>F10/MAX($F$5:$F$11)*5</f>
        <v/>
      </c>
      <c r="H10" s="20" t="n">
        <v>100</v>
      </c>
      <c r="I10" s="15" t="inlineStr">
        <is>
          <t>予防・検査領域は未成立。新規創出前提の仮置き</t>
        </is>
      </c>
    </row>
    <row r="11">
      <c r="A11" s="17" t="inlineStr">
        <is>
          <t>心 × カウンセリング</t>
        </is>
      </c>
      <c r="B11" s="18" t="n">
        <v>2</v>
      </c>
      <c r="C11" s="19">
        <f>2000*B11/100</f>
        <v/>
      </c>
      <c r="D11" s="20" t="n">
        <v>20000</v>
      </c>
      <c r="E11" s="18" t="n">
        <v>2</v>
      </c>
      <c r="F11" s="21">
        <f>C11*D11*E11/10000</f>
        <v/>
      </c>
      <c r="G11" s="22">
        <f>F11/MAX($F$5:$F$11)*5</f>
        <v/>
      </c>
      <c r="H11" s="20" t="n">
        <v>80</v>
      </c>
      <c r="I11" s="15" t="inlineStr">
        <is>
          <t>メンズ向けカウンセリングは市場未顕在。仮置き</t>
        </is>
      </c>
    </row>
    <row r="13">
      <c r="A13" s="2" t="inlineStr">
        <is>
          <t>SAM = 対象顧客(万人) × HR単価(円) × 年間頻度 ÷ 10,000。HRが全需要を束ねた場合の年間売上プール（上限）。実際の獲得はこの数%。</t>
        </is>
      </c>
    </row>
  </sheetData>
  <mergeCells count="3">
    <mergeCell ref="A1:I1"/>
    <mergeCell ref="A13:I13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26" customWidth="1" min="4" max="4"/>
    <col width="28" customWidth="1" min="5" max="5"/>
    <col width="26" customWidth="1" min="6" max="6"/>
  </cols>
  <sheetData>
    <row r="1">
      <c r="A1" s="1" t="inlineStr">
        <is>
          <t>③ 判断根拠 — ②〜⑥スコア（1=低い/悪い 〜 5=高い/良い）の理由</t>
        </is>
      </c>
    </row>
    <row r="3">
      <c r="A3" s="9" t="inlineStr">
        <is>
          <t>楔</t>
        </is>
      </c>
      <c r="B3" s="9" t="inlineStr">
        <is>
          <t>②VPの立てやすさ（競合の薄さ）</t>
        </is>
      </c>
      <c r="C3" s="9" t="inlineStr">
        <is>
          <t>③CAN適合（メディア/コーディネート力）</t>
        </is>
      </c>
      <c r="D3" s="9" t="inlineStr">
        <is>
          <t>④緊急度/WTP（今すぐ払うか）</t>
        </is>
      </c>
      <c r="E3" s="9" t="inlineStr">
        <is>
          <t>⑤供給確保（1人/1院を押さえられるか）</t>
        </is>
      </c>
      <c r="F3" s="9" t="inlineStr">
        <is>
          <t>⑥制約両立（中立・紹介料0）</t>
        </is>
      </c>
    </row>
    <row r="4">
      <c r="A4" s="10" t="inlineStr">
        <is>
          <t>薄毛×医療</t>
        </is>
      </c>
      <c r="B4" s="23" t="inlineStr">
        <is>
          <t>医療広告が飽和＝篠塚が避けた『ホテル予約』側。差別化の隙間が狭い</t>
        </is>
      </c>
      <c r="C4" s="23" t="inlineStr">
        <is>
          <t>記事資産は効くが施術は自社不可・紹介のみ＝コーディネート余地は中</t>
        </is>
      </c>
      <c r="D4" s="23" t="inlineStr">
        <is>
          <t>深刻・緊急・高単価継続。WTP最強</t>
        </is>
      </c>
      <c r="E4" s="23" t="inlineStr">
        <is>
          <t>自由診療クリニックの提携が必要で難度高</t>
        </is>
      </c>
      <c r="F4" s="23" t="inlineStr">
        <is>
          <t>患者紹介料は規制強く法務リスク大＝中立/紹介料0と衝突</t>
        </is>
      </c>
    </row>
    <row r="5">
      <c r="A5" s="10" t="inlineStr">
        <is>
          <t>第一印象×一日</t>
        </is>
      </c>
      <c r="B5" s="23" t="inlineStr">
        <is>
          <t>コンシェルジュ型競合がほぼ不在＝ブルーオーシャン。HR独自VPが立つ</t>
        </is>
      </c>
      <c r="C5" s="23" t="inlineStr">
        <is>
          <t>メディアの強みと直結・『束ねる』能力ど真ん中＝最適合</t>
        </is>
      </c>
      <c r="D5" s="23" t="inlineStr">
        <is>
          <t>転機（婚活/昇進/写真）で高いが単発になりがち</t>
        </is>
      </c>
      <c r="E5" s="23" t="inlineStr">
        <is>
          <t>メンズメイク対応人材が希少＝HR自身が最難関と認識</t>
        </is>
      </c>
      <c r="F5" s="23" t="inlineStr">
        <is>
          <t>自社パッケージの原価マージン＝キックバックでなく健全に両立◎</t>
        </is>
      </c>
    </row>
    <row r="6">
      <c r="A6" s="10" t="inlineStr">
        <is>
          <t>肌×美容皮膚科</t>
        </is>
      </c>
      <c r="B6" s="23" t="inlineStr">
        <is>
          <t>美容皮膚科の広告多く差別化しづらい</t>
        </is>
      </c>
      <c r="C6" s="23" t="inlineStr">
        <is>
          <t>記事は効く。施術は紹介</t>
        </is>
      </c>
      <c r="D6" s="23" t="inlineStr">
        <is>
          <t>肌悩みは中程度の緊急度</t>
        </is>
      </c>
      <c r="E6" s="23" t="inlineStr">
        <is>
          <t>クリニック提携が必要</t>
        </is>
      </c>
      <c r="F6" s="23" t="inlineStr">
        <is>
          <t>医療＝紹介料規制と衝突</t>
        </is>
      </c>
    </row>
    <row r="7">
      <c r="A7" s="10" t="inlineStr">
        <is>
          <t>体型×トレ/栄養</t>
        </is>
      </c>
      <c r="B7" s="23" t="inlineStr">
        <is>
          <t>パーソナルジム飽和気味だが『中立で選ぶ』余地はある</t>
        </is>
      </c>
      <c r="C7" s="23" t="inlineStr">
        <is>
          <t>記事＋コーディネート効く</t>
        </is>
      </c>
      <c r="D7" s="23" t="inlineStr">
        <is>
          <t>中〜高。可視化しやすくWTPは出る</t>
        </is>
      </c>
      <c r="E7" s="23" t="inlineStr">
        <is>
          <t>トレーナー/栄養士は多数＝確保容易</t>
        </is>
      </c>
      <c r="F7" s="23" t="inlineStr">
        <is>
          <t>下請けマージンで両立可</t>
        </is>
      </c>
    </row>
    <row r="8">
      <c r="A8" s="10" t="inlineStr">
        <is>
          <t>ヒゲ体毛×脱毛</t>
        </is>
      </c>
      <c r="B8" s="23" t="inlineStr">
        <is>
          <t>広告飽和で差別化余地小</t>
        </is>
      </c>
      <c r="C8" s="23" t="inlineStr">
        <is>
          <t>記事は効く</t>
        </is>
      </c>
      <c r="D8" s="23" t="inlineStr">
        <is>
          <t>中程度</t>
        </is>
      </c>
      <c r="E8" s="23" t="inlineStr">
        <is>
          <t>クリニック/サロン多数＝確保容易</t>
        </is>
      </c>
      <c r="F8" s="23" t="inlineStr">
        <is>
          <t>医療脱毛は規制、サロンはグレー</t>
        </is>
      </c>
    </row>
    <row r="9">
      <c r="A9" s="10" t="inlineStr">
        <is>
          <t>内側×血液</t>
        </is>
      </c>
      <c r="B9" s="23" t="inlineStr">
        <is>
          <t>競合ほぼ不在だが需要が未顕在</t>
        </is>
      </c>
      <c r="C9" s="23" t="inlineStr">
        <is>
          <t>専門性高くCANとの距離が遠い</t>
        </is>
      </c>
      <c r="D9" s="23" t="inlineStr">
        <is>
          <t>顕在化が弱く緊急度低</t>
        </is>
      </c>
      <c r="E9" s="23" t="inlineStr">
        <is>
          <t>検査ラボ＋医師が必要で難</t>
        </is>
      </c>
      <c r="F9" s="23" t="inlineStr">
        <is>
          <t>医療周辺で要法務確認</t>
        </is>
      </c>
    </row>
    <row r="10">
      <c r="A10" s="10" t="inlineStr">
        <is>
          <t>心×カウンセリング</t>
        </is>
      </c>
      <c r="B10" s="23" t="inlineStr">
        <is>
          <t>競合少ないが相談として顕在化しにくい</t>
        </is>
      </c>
      <c r="C10" s="23" t="inlineStr">
        <is>
          <t>コーディネートが効きにくい</t>
        </is>
      </c>
      <c r="D10" s="23" t="inlineStr">
        <is>
          <t>痛みは深いが相談化しづらい</t>
        </is>
      </c>
      <c r="E10" s="23" t="inlineStr">
        <is>
          <t>カウンセラー確保は比較的容易</t>
        </is>
      </c>
      <c r="F10" s="23" t="inlineStr">
        <is>
          <t>非医療で両立しやすい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44" customWidth="1" min="3" max="3"/>
  </cols>
  <sheetData>
    <row r="1">
      <c r="A1" s="1" t="inlineStr">
        <is>
          <t>④ 前提・出典・凡例</t>
        </is>
      </c>
    </row>
    <row r="3">
      <c r="A3" s="24" t="inlineStr">
        <is>
          <t>凡例</t>
        </is>
      </c>
      <c r="B3" s="25" t="inlineStr"/>
      <c r="C3" s="26" t="inlineStr"/>
    </row>
    <row r="4">
      <c r="A4" s="27" t="inlineStr">
        <is>
          <t>黄色セル＝入力（前提/判断値）。青字。実データで上書きする。</t>
        </is>
      </c>
      <c r="B4" s="25" t="inlineStr"/>
      <c r="C4" s="26" t="inlineStr"/>
    </row>
    <row r="5">
      <c r="A5" s="27" t="inlineStr">
        <is>
          <t>白/緑セル＝自動計算（数式）。触らない。</t>
        </is>
      </c>
      <c r="B5" s="25" t="inlineStr"/>
      <c r="C5" s="26" t="inlineStr"/>
    </row>
    <row r="6">
      <c r="A6" s="27" t="inlineStr"/>
      <c r="B6" s="25" t="inlineStr"/>
      <c r="C6" s="26" t="inlineStr"/>
    </row>
    <row r="7">
      <c r="A7" s="24" t="inlineStr">
        <is>
          <t>主要前提</t>
        </is>
      </c>
      <c r="B7" s="25" t="inlineStr">
        <is>
          <t>値</t>
        </is>
      </c>
      <c r="C7" s="26" t="inlineStr">
        <is>
          <t>根拠/出典</t>
        </is>
      </c>
    </row>
    <row r="8">
      <c r="A8" s="27" t="inlineStr">
        <is>
          <t>対象男性人口（20〜49歳）</t>
        </is>
      </c>
      <c r="B8" s="25" t="inlineStr">
        <is>
          <t>約2,000万人</t>
        </is>
      </c>
      <c r="C8" s="26" t="inlineStr">
        <is>
          <t>総務省人口推計ベースの概算（20代約590万+30代約650万+40代約800万）</t>
        </is>
      </c>
    </row>
    <row r="9">
      <c r="A9" s="27" t="inlineStr">
        <is>
          <t>対象率（悩み保有×本気の支払層）</t>
        </is>
      </c>
      <c r="B9" s="25" t="inlineStr">
        <is>
          <t>楔ごとに1〜5%</t>
        </is>
      </c>
      <c r="C9" s="26" t="inlineStr">
        <is>
          <t>HR仮置き。実データ（記事PV・相談転換）で要更新</t>
        </is>
      </c>
    </row>
    <row r="10">
      <c r="A10" s="27" t="inlineStr">
        <is>
          <t>HR単価・年間頻度</t>
        </is>
      </c>
      <c r="B10" s="25" t="inlineStr">
        <is>
          <t>楔ごと</t>
        </is>
      </c>
      <c r="C10" s="26" t="inlineStr">
        <is>
          <t>HRのコーディネート込み想定単価。要検証（Concierge MVPで実測）</t>
        </is>
      </c>
    </row>
    <row r="11">
      <c r="A11" s="27" t="inlineStr"/>
      <c r="B11" s="25" t="inlineStr"/>
      <c r="C11" s="26" t="inlineStr"/>
    </row>
    <row r="12">
      <c r="A12" s="24" t="inlineStr">
        <is>
          <t>市場規模データ（出典）</t>
        </is>
      </c>
      <c r="B12" s="25" t="inlineStr"/>
      <c r="C12" s="26" t="inlineStr"/>
    </row>
    <row r="13">
      <c r="A13" s="27" t="inlineStr">
        <is>
          <t>薄毛対策・予防市場</t>
        </is>
      </c>
      <c r="B13" s="25" t="inlineStr">
        <is>
          <t>約5,137億円（うち自覚層対策2,459億, 2025推計）</t>
        </is>
      </c>
      <c r="C13" s="26" t="inlineStr">
        <is>
          <t>news-postseven / 矢野経済系</t>
        </is>
      </c>
    </row>
    <row r="14">
      <c r="A14" s="27" t="inlineStr">
        <is>
          <t>美容医療総市場</t>
        </is>
      </c>
      <c r="B14" s="25" t="inlineStr">
        <is>
          <t>6,310億円（2024, 前年比+6.2%）</t>
        </is>
      </c>
      <c r="C14" s="26" t="inlineStr">
        <is>
          <t>各種業界調査</t>
        </is>
      </c>
    </row>
    <row r="15">
      <c r="A15" s="27" t="inlineStr">
        <is>
          <t>男性脱毛市場</t>
        </is>
      </c>
      <c r="B15" s="25" t="inlineStr">
        <is>
          <t>635億円（2024, 4年で1.8倍）</t>
        </is>
      </c>
      <c r="C15" s="26" t="inlineStr">
        <is>
          <t>リクルート ホットペッパービューティーアカデミー</t>
        </is>
      </c>
    </row>
    <row r="16">
      <c r="A16" s="27" t="inlineStr">
        <is>
          <t>男性化粧品市場</t>
        </is>
      </c>
      <c r="B16" s="25" t="inlineStr">
        <is>
          <t>497億円（2024, インテージ）／基礎化粧品438億</t>
        </is>
      </c>
      <c r="C16" s="26" t="inlineStr">
        <is>
          <t>インテージ / 富士経済</t>
        </is>
      </c>
    </row>
    <row r="17">
      <c r="A17" s="27" t="inlineStr">
        <is>
          <t>メンズ整肌料（スキンケア）</t>
        </is>
      </c>
      <c r="B17" s="25" t="inlineStr">
        <is>
          <t>314億円（2024, +6.4%）</t>
        </is>
      </c>
      <c r="C17" s="26" t="inlineStr">
        <is>
          <t>富士経済</t>
        </is>
      </c>
    </row>
    <row r="18">
      <c r="A18" s="27" t="inlineStr">
        <is>
          <t>フィットネス市場</t>
        </is>
      </c>
      <c r="B18" s="25" t="inlineStr">
        <is>
          <t>約7,100億円（2024, パーソナルジム300億超）</t>
        </is>
      </c>
      <c r="C18" s="26" t="inlineStr">
        <is>
          <t>帝国データバンク / 矢野経済</t>
        </is>
      </c>
    </row>
    <row r="19">
      <c r="A19" s="27" t="inlineStr"/>
      <c r="B19" s="25" t="inlineStr"/>
      <c r="C19" s="26" t="inlineStr"/>
    </row>
    <row r="20">
      <c r="A20" s="24" t="inlineStr">
        <is>
          <t>注意</t>
        </is>
      </c>
      <c r="B20" s="25" t="inlineStr"/>
      <c r="C20" s="26" t="inlineStr"/>
    </row>
    <row r="21">
      <c r="A21" s="27" t="inlineStr">
        <is>
          <t>SAMは『HRが全需要を束ねた場合』の上限。実獲得は数%。カテゴリ市場は参考値で、HRのSAMとは定義が異なる。</t>
        </is>
      </c>
      <c r="B21" s="25" t="inlineStr"/>
      <c r="C21" s="26" t="inlineStr"/>
    </row>
    <row r="22">
      <c r="A22" s="27" t="inlineStr">
        <is>
          <t>市場規模の絶対額より、①〜⑥の相対比較と『順番の設計』に使うのが本シートの目的。</t>
        </is>
      </c>
      <c r="B22" s="25" t="inlineStr"/>
      <c r="C22" s="2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2026-07-23T13:52:17Z</dcterms:created>
  <dcterms:modified xsi:type="dcterms:W3CDTF">2026-07-23T13:52:17Z</dcterms:modified>
</cp:coreProperties>
</file>